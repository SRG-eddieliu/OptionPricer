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l/Documents/Academic/Self-study/"/>
    </mc:Choice>
  </mc:AlternateContent>
  <xr:revisionPtr revIDLastSave="0" documentId="13_ncr:1_{E1987CEE-8462-974B-B0C7-6B068D3D545E}" xr6:coauthVersionLast="47" xr6:coauthVersionMax="47" xr10:uidLastSave="{00000000-0000-0000-0000-000000000000}"/>
  <bookViews>
    <workbookView xWindow="1080" yWindow="760" windowWidth="29160" windowHeight="18880" xr2:uid="{1215A5F0-AE5E-9841-B078-246D7CF3E93C}"/>
  </bookViews>
  <sheets>
    <sheet name="LSMC_10paths_t3" sheetId="5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5" l="1"/>
  <c r="N11" i="5"/>
  <c r="V12" i="5" s="1"/>
  <c r="N10" i="5"/>
  <c r="N9" i="5"/>
  <c r="N8" i="5"/>
  <c r="N7" i="5"/>
  <c r="N6" i="5"/>
  <c r="N5" i="5"/>
  <c r="N4" i="5"/>
  <c r="N3" i="5"/>
  <c r="N2" i="5"/>
  <c r="V10" i="5"/>
  <c r="J10" i="5" s="1"/>
  <c r="K10" i="5" s="1"/>
  <c r="V9" i="5"/>
  <c r="I11" i="5"/>
  <c r="I10" i="5"/>
  <c r="I9" i="5"/>
  <c r="I8" i="5"/>
  <c r="I7" i="5"/>
  <c r="I6" i="5"/>
  <c r="J5" i="5"/>
  <c r="K5" i="5" s="1"/>
  <c r="I5" i="5"/>
  <c r="I4" i="5"/>
  <c r="I3" i="5"/>
  <c r="I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G4" i="5"/>
  <c r="F4" i="5"/>
  <c r="H3" i="5"/>
  <c r="G3" i="5"/>
  <c r="F3" i="5"/>
  <c r="H2" i="5"/>
  <c r="G2" i="5"/>
  <c r="F2" i="5"/>
  <c r="V7" i="5"/>
  <c r="V6" i="5"/>
  <c r="V13" i="5" l="1"/>
  <c r="O2" i="5" s="1"/>
  <c r="P2" i="5" s="1"/>
  <c r="O5" i="5"/>
  <c r="P5" i="5" s="1"/>
  <c r="J7" i="5"/>
  <c r="K7" i="5" s="1"/>
  <c r="L7" i="5" s="1"/>
  <c r="J2" i="5"/>
  <c r="K2" i="5" s="1"/>
  <c r="M5" i="5"/>
  <c r="L5" i="5"/>
  <c r="M10" i="5"/>
  <c r="L10" i="5"/>
  <c r="M2" i="5"/>
  <c r="L2" i="5"/>
  <c r="M7" i="5"/>
  <c r="J3" i="5"/>
  <c r="K3" i="5" s="1"/>
  <c r="J8" i="5"/>
  <c r="K8" i="5" s="1"/>
  <c r="J6" i="5"/>
  <c r="K6" i="5" s="1"/>
  <c r="J11" i="5"/>
  <c r="K11" i="5" s="1"/>
  <c r="J4" i="5"/>
  <c r="K4" i="5" s="1"/>
  <c r="J9" i="5"/>
  <c r="K9" i="5" s="1"/>
  <c r="R2" i="5" l="1"/>
  <c r="Q2" i="5"/>
  <c r="S2" i="5" s="1"/>
  <c r="O11" i="5"/>
  <c r="P11" i="5" s="1"/>
  <c r="O7" i="5"/>
  <c r="P7" i="5" s="1"/>
  <c r="O3" i="5"/>
  <c r="P3" i="5" s="1"/>
  <c r="O9" i="5"/>
  <c r="P9" i="5" s="1"/>
  <c r="O10" i="5"/>
  <c r="P10" i="5" s="1"/>
  <c r="O6" i="5"/>
  <c r="P6" i="5" s="1"/>
  <c r="O4" i="5"/>
  <c r="P4" i="5" s="1"/>
  <c r="O8" i="5"/>
  <c r="P8" i="5" s="1"/>
  <c r="Q5" i="5"/>
  <c r="R5" i="5"/>
  <c r="S5" i="5" s="1"/>
  <c r="R11" i="5"/>
  <c r="Q11" i="5"/>
  <c r="R7" i="5"/>
  <c r="Q7" i="5"/>
  <c r="R3" i="5"/>
  <c r="Q3" i="5"/>
  <c r="L11" i="5"/>
  <c r="M4" i="5"/>
  <c r="L4" i="5"/>
  <c r="M6" i="5"/>
  <c r="L6" i="5"/>
  <c r="M8" i="5"/>
  <c r="L8" i="5"/>
  <c r="M3" i="5"/>
  <c r="L3" i="5"/>
  <c r="L9" i="5"/>
  <c r="M9" i="5"/>
  <c r="R4" i="5" l="1"/>
  <c r="S4" i="5" s="1"/>
  <c r="Q4" i="5"/>
  <c r="Q10" i="5"/>
  <c r="R10" i="5"/>
  <c r="S10" i="5" s="1"/>
  <c r="Q8" i="5"/>
  <c r="R8" i="5"/>
  <c r="S8" i="5" s="1"/>
  <c r="R6" i="5"/>
  <c r="S6" i="5" s="1"/>
  <c r="Q6" i="5"/>
  <c r="R9" i="5"/>
  <c r="Q9" i="5"/>
  <c r="S7" i="5"/>
  <c r="S11" i="5"/>
  <c r="S3" i="5"/>
  <c r="S9" i="5" l="1"/>
  <c r="V15" i="5" s="1"/>
</calcChain>
</file>

<file path=xl/sharedStrings.xml><?xml version="1.0" encoding="utf-8"?>
<sst xmlns="http://schemas.openxmlformats.org/spreadsheetml/2006/main" count="31" uniqueCount="31">
  <si>
    <t>Path</t>
  </si>
  <si>
    <t>Intrinsic_t1</t>
  </si>
  <si>
    <t>Intrinsic_t2</t>
  </si>
  <si>
    <t>Decision_t1</t>
  </si>
  <si>
    <t>PV_t0</t>
  </si>
  <si>
    <t>S_t0</t>
  </si>
  <si>
    <t>S_t1</t>
  </si>
  <si>
    <t>S_t2</t>
  </si>
  <si>
    <t>S_t3</t>
  </si>
  <si>
    <t>Strike K</t>
  </si>
  <si>
    <t>r</t>
  </si>
  <si>
    <t>sigma</t>
  </si>
  <si>
    <t>T</t>
  </si>
  <si>
    <t>dt</t>
  </si>
  <si>
    <t>American Put Price</t>
  </si>
  <si>
    <t>NSteps</t>
  </si>
  <si>
    <t>Disc_dt</t>
  </si>
  <si>
    <t>Intrinsic_t3</t>
  </si>
  <si>
    <t>Y_t2_disc_from_t3</t>
  </si>
  <si>
    <t>Cont_t2_reg</t>
  </si>
  <si>
    <t>Decision_t2</t>
  </si>
  <si>
    <t>CF_time_after_t2</t>
  </si>
  <si>
    <t>CF_amt_after_t2</t>
  </si>
  <si>
    <t>Y_t1_disc_from_futureCF</t>
  </si>
  <si>
    <t>Cont_t1_reg</t>
  </si>
  <si>
    <t>Final_CF_time</t>
  </si>
  <si>
    <t>Final_CF_amt</t>
  </si>
  <si>
    <t>Slope_t2 (a1)</t>
  </si>
  <si>
    <t>Intercept_t2 (a0)</t>
  </si>
  <si>
    <t>Slope_t1 (a1)</t>
  </si>
  <si>
    <t>Intercept_t1 (a0)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</si>
</sst>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57CC-9D75-0645-A1CF-4BE63F50B6E3}">
  <sheetPr codeName="Sheet5"/>
  <dimension ref="A1:V15"/>
  <sheetViews>
    <sheetView tabSelected="1" workbookViewId="0">
      <selection activeCell="G29" sqref="G29"/>
    </sheetView>
  </sheetViews>
  <sheetFormatPr baseColWidth="10" defaultRowHeight="16" x14ac:dyDescent="0.2"/>
  <cols>
    <col min="1" max="1" width="4.83203125" bestFit="1" customWidth="1"/>
    <col min="2" max="2" width="4.6640625" bestFit="1" customWidth="1"/>
    <col min="3" max="8" width="12.1640625" bestFit="1" customWidth="1"/>
    <col min="9" max="9" width="15.83203125" bestFit="1" customWidth="1"/>
    <col min="10" max="10" width="12.83203125" bestFit="1" customWidth="1"/>
    <col min="12" max="12" width="15.1640625" bestFit="1" customWidth="1"/>
    <col min="13" max="13" width="14.6640625" bestFit="1" customWidth="1"/>
    <col min="14" max="14" width="21.6640625" bestFit="1" customWidth="1"/>
    <col min="15" max="15" width="12.1640625" bestFit="1" customWidth="1"/>
    <col min="17" max="17" width="12.83203125" bestFit="1" customWidth="1"/>
    <col min="18" max="18" width="12.33203125" bestFit="1" customWidth="1"/>
    <col min="19" max="19" width="12.1640625" bestFit="1" customWidth="1"/>
    <col min="21" max="21" width="16.5" bestFit="1" customWidth="1"/>
    <col min="22" max="22" width="12.83203125" bestFit="1" customWidth="1"/>
  </cols>
  <sheetData>
    <row r="1" spans="1:22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2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3</v>
      </c>
      <c r="Q1" t="s">
        <v>25</v>
      </c>
      <c r="R1" t="s">
        <v>26</v>
      </c>
      <c r="S1" t="s">
        <v>4</v>
      </c>
      <c r="U1" t="s">
        <v>9</v>
      </c>
      <c r="V1">
        <v>100</v>
      </c>
    </row>
    <row r="2" spans="1:22" x14ac:dyDescent="0.2">
      <c r="A2">
        <v>1</v>
      </c>
      <c r="B2">
        <v>100</v>
      </c>
      <c r="C2">
        <v>82.946961234122924</v>
      </c>
      <c r="D2">
        <v>102.82534760336812</v>
      </c>
      <c r="E2">
        <v>102.56763264571732</v>
      </c>
      <c r="F2">
        <f>MAX($V$1 - C2,0)</f>
        <v>17.053038765877076</v>
      </c>
      <c r="G2">
        <f>MAX($V$1 - D2,0)</f>
        <v>0</v>
      </c>
      <c r="H2">
        <f>MAX($V$1 - E2,0)</f>
        <v>0</v>
      </c>
      <c r="I2">
        <f>H2 * $V$7</f>
        <v>0</v>
      </c>
      <c r="J2">
        <f>$V$10 + $V$9 * D2</f>
        <v>3.7947677356697582</v>
      </c>
      <c r="K2" t="str">
        <f>IF(G2&gt;J2,"Exercise","Continue")</f>
        <v>Continue</v>
      </c>
      <c r="L2">
        <f>IF(K2="Exercise",2,3)</f>
        <v>3</v>
      </c>
      <c r="M2">
        <f>IF(K2="Exercise",G2,H2)</f>
        <v>0</v>
      </c>
      <c r="N2">
        <f>M2 * EXP(-$V$2 * (L2 - 1) * $V$6)</f>
        <v>0</v>
      </c>
      <c r="O2">
        <f>$V$13 + $V$12 * C2</f>
        <v>6.5618708001089558</v>
      </c>
      <c r="P2" t="str">
        <f>IF(F2&gt;O2,"Exercise","Continue")</f>
        <v>Exercise</v>
      </c>
      <c r="Q2">
        <f>IF(P2="Exercise",1,L2)</f>
        <v>1</v>
      </c>
      <c r="R2">
        <f>IF(P2="Exercise",F2,M2)</f>
        <v>17.053038765877076</v>
      </c>
      <c r="S2">
        <f>R2 * EXP(-$V$2 * Q2 * $V$6)</f>
        <v>16.493973656500103</v>
      </c>
      <c r="U2" t="s">
        <v>10</v>
      </c>
      <c r="V2">
        <v>0.1</v>
      </c>
    </row>
    <row r="3" spans="1:22" x14ac:dyDescent="0.2">
      <c r="A3">
        <v>2</v>
      </c>
      <c r="B3">
        <v>100</v>
      </c>
      <c r="C3">
        <v>117.64772918105086</v>
      </c>
      <c r="D3">
        <v>125.1939428638603</v>
      </c>
      <c r="E3">
        <v>141.41773905701814</v>
      </c>
      <c r="F3">
        <f>MAX($V$1 - C3,0)</f>
        <v>0</v>
      </c>
      <c r="G3">
        <f>MAX($V$1 - D3,0)</f>
        <v>0</v>
      </c>
      <c r="H3">
        <f>MAX($V$1 - E3,0)</f>
        <v>0</v>
      </c>
      <c r="I3">
        <f>H3 * $V$7</f>
        <v>0</v>
      </c>
      <c r="J3">
        <f>$V$10 + $V$9 * D3</f>
        <v>-6.8148106907744719</v>
      </c>
      <c r="K3" t="str">
        <f>IF(G3&gt;J3,"Exercise","Continue")</f>
        <v>Exercise</v>
      </c>
      <c r="L3">
        <f>IF(K3="Exercise",2,3)</f>
        <v>2</v>
      </c>
      <c r="M3">
        <f>IF(K3="Exercise",G3,H3)</f>
        <v>0</v>
      </c>
      <c r="N3">
        <f>M3 * EXP(-$V$2 * (L3 - 1) * $V$6)</f>
        <v>0</v>
      </c>
      <c r="O3">
        <f>$V$13 + $V$12 * C3</f>
        <v>1.9560898181921633</v>
      </c>
      <c r="P3" t="str">
        <f>IF(F3&gt;O3,"Exercise","Continue")</f>
        <v>Continue</v>
      </c>
      <c r="Q3">
        <f>IF(P3="Exercise",1,L3)</f>
        <v>2</v>
      </c>
      <c r="R3">
        <f>IF(P3="Exercise",F3,M3)</f>
        <v>0</v>
      </c>
      <c r="S3">
        <f>R3 * EXP(-$V$2 * Q3 * $V$6)</f>
        <v>0</v>
      </c>
      <c r="U3" t="s">
        <v>11</v>
      </c>
      <c r="V3">
        <v>0.2</v>
      </c>
    </row>
    <row r="4" spans="1:22" x14ac:dyDescent="0.2">
      <c r="A4">
        <v>3</v>
      </c>
      <c r="B4">
        <v>100</v>
      </c>
      <c r="C4">
        <v>95.767410151296673</v>
      </c>
      <c r="D4">
        <v>91.851014073480414</v>
      </c>
      <c r="E4">
        <v>98.400490483346204</v>
      </c>
      <c r="F4">
        <f>MAX($V$1 - C4,0)</f>
        <v>4.2325898487033271</v>
      </c>
      <c r="G4">
        <f>MAX($V$1 - D4,0)</f>
        <v>8.1489859265195861</v>
      </c>
      <c r="H4">
        <f>MAX($V$1 - E4,0)</f>
        <v>1.5995095166537965</v>
      </c>
      <c r="I4">
        <f>H4 * $V$7</f>
        <v>1.5470713573817432</v>
      </c>
      <c r="J4">
        <f>$V$10 + $V$9 * D4</f>
        <v>8.9999695334306722</v>
      </c>
      <c r="K4" t="str">
        <f>IF(G4&gt;J4,"Exercise","Continue")</f>
        <v>Continue</v>
      </c>
      <c r="L4">
        <f>IF(K4="Exercise",2,3)</f>
        <v>3</v>
      </c>
      <c r="M4">
        <f>IF(K4="Exercise",G4,H4)</f>
        <v>1.5995095166537965</v>
      </c>
      <c r="N4">
        <f>M4 * EXP(-$V$2 * (L4 - 1) * $V$6)</f>
        <v>1.4963523254541733</v>
      </c>
      <c r="O4">
        <f>$V$13 + $V$12 * C4</f>
        <v>4.8602318077770263</v>
      </c>
      <c r="P4" t="str">
        <f>IF(F4&gt;O4,"Exercise","Continue")</f>
        <v>Continue</v>
      </c>
      <c r="Q4">
        <f>IF(P4="Exercise",1,L4)</f>
        <v>3</v>
      </c>
      <c r="R4">
        <f>IF(P4="Exercise",F4,M4)</f>
        <v>1.5995095166537965</v>
      </c>
      <c r="S4">
        <f>R4 * EXP(-$V$2 * Q4 * $V$6)</f>
        <v>1.4472960611729668</v>
      </c>
      <c r="U4" t="s">
        <v>12</v>
      </c>
      <c r="V4">
        <v>1</v>
      </c>
    </row>
    <row r="5" spans="1:22" x14ac:dyDescent="0.2">
      <c r="A5">
        <v>4</v>
      </c>
      <c r="B5">
        <v>100</v>
      </c>
      <c r="C5">
        <v>98.106975026972862</v>
      </c>
      <c r="D5">
        <v>79.634342638421799</v>
      </c>
      <c r="E5">
        <v>69.523832254542342</v>
      </c>
      <c r="F5">
        <f>MAX($V$1 - C5,0)</f>
        <v>1.8930249730271385</v>
      </c>
      <c r="G5">
        <f>MAX($V$1 - D5,0)</f>
        <v>20.365657361578201</v>
      </c>
      <c r="H5">
        <f>MAX($V$1 - E5,0)</f>
        <v>30.476167745457658</v>
      </c>
      <c r="I5">
        <f>H5 * $V$7</f>
        <v>29.477040124397043</v>
      </c>
      <c r="J5">
        <f>$V$10 + $V$9 * D5</f>
        <v>14.79442073570538</v>
      </c>
      <c r="K5" t="str">
        <f>IF(G5&gt;J5,"Exercise","Continue")</f>
        <v>Exercise</v>
      </c>
      <c r="L5">
        <f>IF(K5="Exercise",2,3)</f>
        <v>2</v>
      </c>
      <c r="M5">
        <f>IF(K5="Exercise",G5,H5)</f>
        <v>20.365657361578201</v>
      </c>
      <c r="N5">
        <f>M5 * EXP(-$V$2 * (L5 - 1) * $V$6)</f>
        <v>19.697991697018324</v>
      </c>
      <c r="O5">
        <f>$V$13 + $V$12 * C5</f>
        <v>4.5497048641995743</v>
      </c>
      <c r="P5" t="str">
        <f>IF(F5&gt;O5,"Exercise","Continue")</f>
        <v>Continue</v>
      </c>
      <c r="Q5">
        <f>IF(P5="Exercise",1,L5)</f>
        <v>2</v>
      </c>
      <c r="R5">
        <f>IF(P5="Exercise",F5,M5)</f>
        <v>20.365657361578201</v>
      </c>
      <c r="S5">
        <f>R5 * EXP(-$V$2 * Q5 * $V$6)</f>
        <v>19.052214716516993</v>
      </c>
      <c r="U5" t="s">
        <v>15</v>
      </c>
      <c r="V5">
        <v>3</v>
      </c>
    </row>
    <row r="6" spans="1:22" x14ac:dyDescent="0.2">
      <c r="A6">
        <v>5</v>
      </c>
      <c r="B6">
        <v>100</v>
      </c>
      <c r="C6">
        <v>97.906053712652763</v>
      </c>
      <c r="D6">
        <v>90.805249859289461</v>
      </c>
      <c r="E6">
        <v>112.04450491672208</v>
      </c>
      <c r="F6">
        <f>MAX($V$1 - C6,0)</f>
        <v>2.0939462873472365</v>
      </c>
      <c r="G6">
        <f>MAX($V$1 - D6,0)</f>
        <v>9.1947501407105392</v>
      </c>
      <c r="H6">
        <f>MAX($V$1 - E6,0)</f>
        <v>0</v>
      </c>
      <c r="I6">
        <f>H6 * $V$7</f>
        <v>0</v>
      </c>
      <c r="J6">
        <f>$V$10 + $V$9 * D6</f>
        <v>9.495982685656827</v>
      </c>
      <c r="K6" t="str">
        <f>IF(G6&gt;J6,"Exercise","Continue")</f>
        <v>Continue</v>
      </c>
      <c r="L6">
        <f>IF(K6="Exercise",2,3)</f>
        <v>3</v>
      </c>
      <c r="M6">
        <f>IF(K6="Exercise",G6,H6)</f>
        <v>0</v>
      </c>
      <c r="N6">
        <f>M6 * EXP(-$V$2 * (L6 - 1) * $V$6)</f>
        <v>0</v>
      </c>
      <c r="O6">
        <f>$V$13 + $V$12 * C6</f>
        <v>4.5763728494664289</v>
      </c>
      <c r="P6" t="str">
        <f>IF(F6&gt;O6,"Exercise","Continue")</f>
        <v>Continue</v>
      </c>
      <c r="Q6">
        <f>IF(P6="Exercise",1,L6)</f>
        <v>3</v>
      </c>
      <c r="R6">
        <f>IF(P6="Exercise",F6,M6)</f>
        <v>0</v>
      </c>
      <c r="S6">
        <f>R6 * EXP(-$V$2 * Q6 * $V$6)</f>
        <v>0</v>
      </c>
      <c r="U6" t="s">
        <v>13</v>
      </c>
      <c r="V6">
        <f>V4/V5</f>
        <v>0.33333333333333331</v>
      </c>
    </row>
    <row r="7" spans="1:22" x14ac:dyDescent="0.2">
      <c r="A7">
        <v>6</v>
      </c>
      <c r="B7">
        <v>100</v>
      </c>
      <c r="C7">
        <v>93.415855388768676</v>
      </c>
      <c r="D7">
        <v>96.600760064616011</v>
      </c>
      <c r="E7">
        <v>89.927637910132617</v>
      </c>
      <c r="F7">
        <f>MAX($V$1 - C7,0)</f>
        <v>6.5841446112313236</v>
      </c>
      <c r="G7">
        <f>MAX($V$1 - D7,0)</f>
        <v>3.3992399353839886</v>
      </c>
      <c r="H7">
        <f>MAX($V$1 - E7,0)</f>
        <v>10.072362089867383</v>
      </c>
      <c r="I7">
        <f>H7 * $V$7</f>
        <v>9.7421507832043179</v>
      </c>
      <c r="J7">
        <f>$V$10 + $V$9 * D7</f>
        <v>6.7471323743781824</v>
      </c>
      <c r="K7" t="str">
        <f>IF(G7&gt;J7,"Exercise","Continue")</f>
        <v>Continue</v>
      </c>
      <c r="L7">
        <f>IF(K7="Exercise",2,3)</f>
        <v>3</v>
      </c>
      <c r="M7">
        <f>IF(K7="Exercise",G7,H7)</f>
        <v>10.072362089867383</v>
      </c>
      <c r="N7">
        <f>M7 * EXP(-$V$2 * (L7 - 1) * $V$6)</f>
        <v>9.4227650908386007</v>
      </c>
      <c r="O7">
        <f>$V$13 + $V$12 * C7</f>
        <v>5.1723501510872385</v>
      </c>
      <c r="P7" t="str">
        <f>IF(F7&gt;O7,"Exercise","Continue")</f>
        <v>Exercise</v>
      </c>
      <c r="Q7">
        <f>IF(P7="Exercise",1,L7)</f>
        <v>1</v>
      </c>
      <c r="R7">
        <f>IF(P7="Exercise",F7,M7)</f>
        <v>6.5841446112313236</v>
      </c>
      <c r="S7">
        <f>R7 * EXP(-$V$2 * Q7 * $V$6)</f>
        <v>6.3682906758847739</v>
      </c>
      <c r="U7" t="s">
        <v>16</v>
      </c>
      <c r="V7">
        <f>EXP(-V2*V6)</f>
        <v>0.9672161004820059</v>
      </c>
    </row>
    <row r="8" spans="1:22" x14ac:dyDescent="0.2">
      <c r="A8">
        <v>7</v>
      </c>
      <c r="B8">
        <v>100</v>
      </c>
      <c r="C8">
        <v>102.17723025730115</v>
      </c>
      <c r="D8">
        <v>92.959629860352848</v>
      </c>
      <c r="E8">
        <v>89.344726745464783</v>
      </c>
      <c r="F8">
        <f>MAX($V$1 - C8,0)</f>
        <v>0</v>
      </c>
      <c r="G8">
        <f>MAX($V$1 - D8,0)</f>
        <v>7.0403701396471519</v>
      </c>
      <c r="H8">
        <f>MAX($V$1 - E8,0)</f>
        <v>10.655273254535217</v>
      </c>
      <c r="I8">
        <f>H8 * $V$7</f>
        <v>10.305951846821765</v>
      </c>
      <c r="J8">
        <f>$V$10 + $V$9 * D8</f>
        <v>8.4741454484291694</v>
      </c>
      <c r="K8" t="str">
        <f>IF(G8&gt;J8,"Exercise","Continue")</f>
        <v>Continue</v>
      </c>
      <c r="L8">
        <f>IF(K8="Exercise",2,3)</f>
        <v>3</v>
      </c>
      <c r="M8">
        <f>IF(K8="Exercise",G8,H8)</f>
        <v>10.655273254535217</v>
      </c>
      <c r="N8">
        <f>M8 * EXP(-$V$2 * (L8 - 1) * $V$6)</f>
        <v>9.9680825570382741</v>
      </c>
      <c r="O8">
        <f>$V$13 + $V$12 * C8</f>
        <v>4.0094659807239985</v>
      </c>
      <c r="P8" t="str">
        <f>IF(F8&gt;O8,"Exercise","Continue")</f>
        <v>Continue</v>
      </c>
      <c r="Q8">
        <f>IF(P8="Exercise",1,L8)</f>
        <v>3</v>
      </c>
      <c r="R8">
        <f>IF(P8="Exercise",F8,M8)</f>
        <v>10.655273254535217</v>
      </c>
      <c r="S8">
        <f>R8 * EXP(-$V$2 * Q8 * $V$6)</f>
        <v>9.6412899401012613</v>
      </c>
    </row>
    <row r="9" spans="1:22" x14ac:dyDescent="0.2">
      <c r="A9">
        <v>8</v>
      </c>
      <c r="B9">
        <v>100</v>
      </c>
      <c r="C9">
        <v>100.428878477775</v>
      </c>
      <c r="D9">
        <v>104.51750730741638</v>
      </c>
      <c r="E9">
        <v>138.10005978126517</v>
      </c>
      <c r="F9">
        <f>MAX($V$1 - C9,0)</f>
        <v>0</v>
      </c>
      <c r="G9">
        <f>MAX($V$1 - D9,0)</f>
        <v>0</v>
      </c>
      <c r="H9">
        <f>MAX($V$1 - E9,0)</f>
        <v>0</v>
      </c>
      <c r="I9">
        <f>H9 * $V$7</f>
        <v>0</v>
      </c>
      <c r="J9">
        <f>$V$10 + $V$9 * D9</f>
        <v>2.9921647612273787</v>
      </c>
      <c r="K9" t="str">
        <f>IF(G9&gt;J9,"Exercise","Continue")</f>
        <v>Continue</v>
      </c>
      <c r="L9">
        <f>IF(K9="Exercise",2,3)</f>
        <v>3</v>
      </c>
      <c r="M9">
        <f>IF(K9="Exercise",G9,H9)</f>
        <v>0</v>
      </c>
      <c r="N9">
        <f>M9 * EXP(-$V$2 * (L9 - 1) * $V$6)</f>
        <v>0</v>
      </c>
      <c r="O9">
        <f>$V$13 + $V$12 * C9</f>
        <v>4.2415220951061823</v>
      </c>
      <c r="P9" t="str">
        <f>IF(F9&gt;O9,"Exercise","Continue")</f>
        <v>Continue</v>
      </c>
      <c r="Q9">
        <f>IF(P9="Exercise",1,L9)</f>
        <v>3</v>
      </c>
      <c r="R9">
        <f>IF(P9="Exercise",F9,M9)</f>
        <v>0</v>
      </c>
      <c r="S9">
        <f>R9 * EXP(-$V$2 * Q9 * $V$6)</f>
        <v>0</v>
      </c>
      <c r="U9" t="s">
        <v>27</v>
      </c>
      <c r="V9">
        <f>INDEX(LINEST(I2:I11, D2:D11, TRUE, TRUE),1,1)</f>
        <v>-0.47430687098993007</v>
      </c>
    </row>
    <row r="10" spans="1:22" x14ac:dyDescent="0.2">
      <c r="A10">
        <v>9</v>
      </c>
      <c r="B10">
        <v>100</v>
      </c>
      <c r="C10">
        <v>121.95110859076874</v>
      </c>
      <c r="D10">
        <v>115.17790571346748</v>
      </c>
      <c r="E10">
        <v>101.45811250911771</v>
      </c>
      <c r="F10">
        <f>MAX($V$1 - C10,0)</f>
        <v>0</v>
      </c>
      <c r="G10">
        <f>MAX($V$1 - D10,0)</f>
        <v>0</v>
      </c>
      <c r="H10">
        <f>MAX($V$1 - E10,0)</f>
        <v>0</v>
      </c>
      <c r="I10">
        <f>H10 * $V$7</f>
        <v>0</v>
      </c>
      <c r="J10">
        <f>$V$10 + $V$9 * D10</f>
        <v>-2.0641354502527562</v>
      </c>
      <c r="K10" t="str">
        <f>IF(G10&gt;J10,"Exercise","Continue")</f>
        <v>Exercise</v>
      </c>
      <c r="L10">
        <f>IF(K10="Exercise",2,3)</f>
        <v>2</v>
      </c>
      <c r="M10">
        <f>IF(K10="Exercise",G10,H10)</f>
        <v>0</v>
      </c>
      <c r="N10">
        <f>M10 * EXP(-$V$2 * (L10 - 1) * $V$6)</f>
        <v>0</v>
      </c>
      <c r="O10">
        <f>$V$13 + $V$12 * C10</f>
        <v>1.3849087113773315</v>
      </c>
      <c r="P10" t="str">
        <f>IF(F10&gt;O10,"Exercise","Continue")</f>
        <v>Continue</v>
      </c>
      <c r="Q10">
        <f>IF(P10="Exercise",1,L10)</f>
        <v>2</v>
      </c>
      <c r="R10">
        <f>IF(P10="Exercise",F10,M10)</f>
        <v>0</v>
      </c>
      <c r="S10">
        <f>R10 * EXP(-$V$2 * Q10 * $V$6)</f>
        <v>0</v>
      </c>
      <c r="U10" t="s">
        <v>28</v>
      </c>
      <c r="V10">
        <f>INDEX(LINEST(I2:I11, D2:D11, TRUE, TRUE),1,2)</f>
        <v>52.565536615875196</v>
      </c>
    </row>
    <row r="11" spans="1:22" x14ac:dyDescent="0.2">
      <c r="A11">
        <v>10</v>
      </c>
      <c r="B11">
        <v>100</v>
      </c>
      <c r="C11">
        <v>107.72834679866823</v>
      </c>
      <c r="D11">
        <v>101.01679433304614</v>
      </c>
      <c r="E11">
        <v>110.45083087903616</v>
      </c>
      <c r="F11">
        <f>MAX($V$1 - C11,0)</f>
        <v>0</v>
      </c>
      <c r="G11">
        <f>MAX($V$1 - D11,0)</f>
        <v>0</v>
      </c>
      <c r="H11">
        <f>MAX($V$1 - E11,0)</f>
        <v>0</v>
      </c>
      <c r="I11">
        <f>H11 * $V$7</f>
        <v>0</v>
      </c>
      <c r="J11">
        <f>$V$10 + $V$9 * D11</f>
        <v>4.6525769783347855</v>
      </c>
      <c r="K11" t="str">
        <f>IF(G11&gt;J11,"Exercise","Continue")</f>
        <v>Continue</v>
      </c>
      <c r="L11">
        <f>IF(K11="Exercise",2,3)</f>
        <v>3</v>
      </c>
      <c r="M11">
        <f>IF(K11="Exercise",G11,H11)</f>
        <v>0</v>
      </c>
      <c r="N11">
        <f>M11 * EXP(-$V$2 * (L11 - 1) * $V$6)</f>
        <v>0</v>
      </c>
      <c r="O11">
        <f>$V$13 + $V$12 * C11</f>
        <v>3.2726745923104854</v>
      </c>
      <c r="P11" t="str">
        <f>IF(F11&gt;O11,"Exercise","Continue")</f>
        <v>Continue</v>
      </c>
      <c r="Q11">
        <f>IF(P11="Exercise",1,L11)</f>
        <v>3</v>
      </c>
      <c r="R11">
        <f>IF(P11="Exercise",F11,M11)</f>
        <v>0</v>
      </c>
      <c r="S11">
        <f>R11 * EXP(-$V$2 * Q11 * $V$6)</f>
        <v>0</v>
      </c>
    </row>
    <row r="12" spans="1:22" x14ac:dyDescent="0.2">
      <c r="U12" t="s">
        <v>29</v>
      </c>
      <c r="V12">
        <f>INDEX(LINEST(N2:N11, C2:C11, TRUE, TRUE),1,1)</f>
        <v>-0.13272850298186392</v>
      </c>
    </row>
    <row r="13" spans="1:22" x14ac:dyDescent="0.2">
      <c r="U13" t="s">
        <v>30</v>
      </c>
      <c r="V13">
        <f>INDEX(LINEST(N2:N11, C2:C11, TRUE, TRUE),1,2)</f>
        <v>17.571296791608791</v>
      </c>
    </row>
    <row r="15" spans="1:22" x14ac:dyDescent="0.2">
      <c r="U15" t="s">
        <v>14</v>
      </c>
      <c r="V15">
        <f>AVERAGE(S2:S11)</f>
        <v>5.3003065050176099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49E6-0FED-9242-9593-3D1BAF8D4F56}">
  <sheetPr codeName="Sheet1"/>
  <dimension ref="A1"/>
  <sheetViews>
    <sheetView workbookViewId="0">
      <selection activeCell="E2" sqref="A1:S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LSMC_10paths_t3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Liu</dc:creator>
  <cp:lastModifiedBy>Eddie Liu</cp:lastModifiedBy>
  <dcterms:created xsi:type="dcterms:W3CDTF">2025-11-17T23:20:58Z</dcterms:created>
  <dcterms:modified xsi:type="dcterms:W3CDTF">2025-11-18T00:34:11Z</dcterms:modified>
</cp:coreProperties>
</file>